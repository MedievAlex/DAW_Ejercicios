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 PowerMjVidal BI\Ejercicios\"/>
    </mc:Choice>
  </mc:AlternateContent>
  <xr:revisionPtr revIDLastSave="0" documentId="13_ncr:1_{9E19CDE2-73A3-4459-A3B6-3FE500ED6D69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Tabla5" sheetId="6" r:id="rId1"/>
    <sheet name="Hogares" sheetId="7" r:id="rId2"/>
    <sheet name="HogaresNotabulados" sheetId="1" state="hidden" r:id="rId3"/>
    <sheet name="Parejasnotabulada" sheetId="2" state="hidden" r:id="rId4"/>
    <sheet name="Tabla2" sheetId="4" state="hidden" r:id="rId5"/>
    <sheet name="Hoja1" sheetId="3" state="hidden" r:id="rId6"/>
    <sheet name="Nucleos de población" sheetId="5" r:id="rId7"/>
  </sheets>
  <definedNames>
    <definedName name="DatosExternos_1" localSheetId="4" hidden="1">Tabla2!$A$1:$C$17</definedName>
    <definedName name="DatosExternos_1" localSheetId="0" hidden="1">Tabla5!$A$1:$C$56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7" l="1"/>
  <c r="D2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A7E5F-B113-402F-B4C1-A20E98FF4096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  <connection id="2" xr16:uid="{00FEEA35-F388-447F-B736-FCE462E61A2F}" keepAlive="1" name="Consulta - Tabla5" description="Conexión a la consulta 'Tabla5' en el libro." type="5" refreshedVersion="8" background="1" saveData="1">
    <dbPr connection="Provider=Microsoft.Mashup.OleDb.1;Data Source=$Workbook$;Location=Tabla5;Extended Properties=&quot;&quot;" command="SELECT * FROM [Tabla5]"/>
  </connection>
</connections>
</file>

<file path=xl/sharedStrings.xml><?xml version="1.0" encoding="utf-8"?>
<sst xmlns="http://schemas.openxmlformats.org/spreadsheetml/2006/main" count="397" uniqueCount="55">
  <si>
    <t>Hogares</t>
  </si>
  <si>
    <t>Resultados nacionales</t>
  </si>
  <si>
    <t/>
  </si>
  <si>
    <t>Hogares según su tamaño por tamaño del municipio</t>
  </si>
  <si>
    <t>Unidades: hogares</t>
  </si>
  <si>
    <t xml:space="preserve"> </t>
  </si>
  <si>
    <t>Total (tamaño del hogar)</t>
  </si>
  <si>
    <t>1 persona</t>
  </si>
  <si>
    <t>2 personas</t>
  </si>
  <si>
    <t>3 personas</t>
  </si>
  <si>
    <t>4 personas</t>
  </si>
  <si>
    <t>5 o más personas</t>
  </si>
  <si>
    <t>Total (tamaño de municipio)</t>
  </si>
  <si>
    <t>Menos de 101 habitantes</t>
  </si>
  <si>
    <t>De 101 a 500</t>
  </si>
  <si>
    <t>De 501 a 1.000</t>
  </si>
  <si>
    <t>De 1.001 a 2.000</t>
  </si>
  <si>
    <t>De 2.001 a 5.000</t>
  </si>
  <si>
    <t>De 5.001 a 10.000</t>
  </si>
  <si>
    <t>De 10.001 a 20.000</t>
  </si>
  <si>
    <t>De 20.001 a 50.000</t>
  </si>
  <si>
    <t>De 50.001 a 100.000</t>
  </si>
  <si>
    <t>De 100.001 a 500.000</t>
  </si>
  <si>
    <t>Más de 500.000</t>
  </si>
  <si>
    <t>Notas:</t>
  </si>
  <si>
    <t xml:space="preserve">Fuente: </t>
  </si>
  <si>
    <t>Instituto Nacional de Estadística</t>
  </si>
  <si>
    <t>Parejas y núcleos</t>
  </si>
  <si>
    <t>Núcleos según tipo de núcleo por tamaño del núcleo</t>
  </si>
  <si>
    <t>Unidades: núcleos</t>
  </si>
  <si>
    <t>Total (tipo del núcleo)</t>
  </si>
  <si>
    <t>Pareja sin hijos</t>
  </si>
  <si>
    <t>Pareja con hijos</t>
  </si>
  <si>
    <t>Total (tamaño del núcleo)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</si>
  <si>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</si>
  <si>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</si>
  <si>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</si>
  <si>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</si>
  <si>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</si>
  <si>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</si>
  <si>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</si>
  <si>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</si>
  <si>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</si>
  <si>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</si>
  <si>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</si>
  <si>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Mujer con hijos</t>
  </si>
  <si>
    <t>Hombre con hijos</t>
  </si>
  <si>
    <t>Tipo Unidad Familiar</t>
  </si>
  <si>
    <t>Población</t>
  </si>
  <si>
    <t xml:space="preserve">Nº personas en el hogar </t>
  </si>
  <si>
    <t>Total:</t>
  </si>
  <si>
    <t>Nucleos de población</t>
  </si>
  <si>
    <t>NºPersonas rangoNucleo</t>
  </si>
  <si>
    <t>Habitantes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</si>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</sst>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3">
    <xf numFmtId="0" fontId="0" fillId="0" borderId="0"/>
    <xf numFmtId="0" fontId="6" fillId="0" borderId="1"/>
    <xf numFmtId="43" fontId="6" fillId="0" borderId="0" applyFont="0" applyFill="0" applyBorder="0" applyAlignment="0" applyProtection="0"/>
  </cellStyleXfs>
  <cellXfs count="53">
    <xf numFmtId="0" fontId="0" fillId="0" borderId="0" xfId="0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3" fontId="5" fillId="6" borderId="2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2" fillId="3" borderId="2" xfId="0" applyFont="1" applyFill="1" applyBorder="1"/>
    <xf numFmtId="0" fontId="4" fillId="4" borderId="2" xfId="0" applyFont="1" applyFill="1" applyBorder="1"/>
    <xf numFmtId="0" fontId="1" fillId="4" borderId="2" xfId="0" applyFont="1" applyFill="1" applyBorder="1"/>
    <xf numFmtId="0" fontId="2" fillId="4" borderId="2" xfId="0" applyFont="1" applyFill="1" applyBorder="1"/>
    <xf numFmtId="0" fontId="6" fillId="0" borderId="1" xfId="1"/>
    <xf numFmtId="0" fontId="2" fillId="5" borderId="2" xfId="1" applyFont="1" applyFill="1" applyBorder="1"/>
    <xf numFmtId="0" fontId="2" fillId="2" borderId="2" xfId="1" applyFont="1" applyFill="1" applyBorder="1" applyAlignment="1">
      <alignment horizontal="left"/>
    </xf>
    <xf numFmtId="0" fontId="6" fillId="2" borderId="2" xfId="1" applyFill="1" applyBorder="1"/>
    <xf numFmtId="3" fontId="3" fillId="6" borderId="2" xfId="1" applyNumberFormat="1" applyFont="1" applyFill="1" applyBorder="1" applyAlignment="1">
      <alignment horizontal="right"/>
    </xf>
    <xf numFmtId="0" fontId="2" fillId="2" borderId="3" xfId="1" applyFont="1" applyFill="1" applyBorder="1" applyAlignment="1">
      <alignment horizontal="left"/>
    </xf>
    <xf numFmtId="3" fontId="3" fillId="6" borderId="7" xfId="1" applyNumberFormat="1" applyFont="1" applyFill="1" applyBorder="1" applyAlignment="1">
      <alignment horizontal="right"/>
    </xf>
    <xf numFmtId="0" fontId="6" fillId="2" borderId="4" xfId="1" applyFill="1" applyBorder="1"/>
    <xf numFmtId="0" fontId="2" fillId="2" borderId="5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3" fontId="3" fillId="6" borderId="11" xfId="1" applyNumberFormat="1" applyFont="1" applyFill="1" applyBorder="1" applyAlignment="1">
      <alignment horizontal="right"/>
    </xf>
    <xf numFmtId="3" fontId="3" fillId="6" borderId="6" xfId="1" applyNumberFormat="1" applyFont="1" applyFill="1" applyBorder="1" applyAlignment="1">
      <alignment horizontal="right"/>
    </xf>
    <xf numFmtId="164" fontId="0" fillId="0" borderId="0" xfId="2" applyNumberFormat="1" applyFont="1"/>
    <xf numFmtId="0" fontId="0" fillId="0" borderId="0" xfId="0" applyAlignment="1">
      <alignment horizontal="right"/>
    </xf>
    <xf numFmtId="0" fontId="1" fillId="2" borderId="3" xfId="0" applyFont="1" applyFill="1" applyBorder="1"/>
    <xf numFmtId="0" fontId="2" fillId="3" borderId="3" xfId="0" applyFont="1" applyFill="1" applyBorder="1"/>
    <xf numFmtId="0" fontId="4" fillId="4" borderId="3" xfId="0" applyFont="1" applyFill="1" applyBorder="1"/>
    <xf numFmtId="0" fontId="1" fillId="4" borderId="3" xfId="0" applyFont="1" applyFill="1" applyBorder="1"/>
    <xf numFmtId="0" fontId="2" fillId="4" borderId="3" xfId="0" applyFont="1" applyFill="1" applyBorder="1"/>
    <xf numFmtId="0" fontId="0" fillId="2" borderId="3" xfId="0" applyFill="1" applyBorder="1"/>
    <xf numFmtId="0" fontId="2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9" fillId="3" borderId="2" xfId="0" applyFont="1" applyFill="1" applyBorder="1"/>
    <xf numFmtId="0" fontId="8" fillId="4" borderId="2" xfId="0" applyFont="1" applyFill="1" applyBorder="1"/>
    <xf numFmtId="0" fontId="9" fillId="4" borderId="2" xfId="0" applyFont="1" applyFill="1" applyBorder="1"/>
    <xf numFmtId="0" fontId="4" fillId="4" borderId="7" xfId="1" applyFont="1" applyFill="1" applyBorder="1"/>
    <xf numFmtId="0" fontId="4" fillId="4" borderId="8" xfId="1" applyFont="1" applyFill="1" applyBorder="1"/>
    <xf numFmtId="0" fontId="4" fillId="4" borderId="3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1" fillId="2" borderId="3" xfId="1" applyFont="1" applyFill="1" applyBorder="1"/>
    <xf numFmtId="0" fontId="2" fillId="3" borderId="7" xfId="1" applyFont="1" applyFill="1" applyBorder="1"/>
    <xf numFmtId="0" fontId="2" fillId="3" borderId="8" xfId="1" applyFont="1" applyFill="1" applyBorder="1"/>
    <xf numFmtId="0" fontId="2" fillId="3" borderId="3" xfId="1" applyFont="1" applyFill="1" applyBorder="1"/>
    <xf numFmtId="0" fontId="1" fillId="4" borderId="7" xfId="1" applyFont="1" applyFill="1" applyBorder="1"/>
    <xf numFmtId="0" fontId="1" fillId="4" borderId="8" xfId="1" applyFont="1" applyFill="1" applyBorder="1"/>
    <xf numFmtId="0" fontId="1" fillId="4" borderId="3" xfId="1" applyFont="1" applyFill="1" applyBorder="1"/>
    <xf numFmtId="0" fontId="2" fillId="4" borderId="7" xfId="1" applyFont="1" applyFill="1" applyBorder="1"/>
    <xf numFmtId="0" fontId="2" fillId="4" borderId="8" xfId="1" applyFont="1" applyFill="1" applyBorder="1"/>
    <xf numFmtId="0" fontId="2" fillId="4" borderId="3" xfId="1" applyFont="1" applyFill="1" applyBorder="1"/>
  </cellXfs>
  <cellStyles count="3">
    <cellStyle name="Millares" xfId="2" builtinId="3"/>
    <cellStyle name="Normal" xfId="0" builtinId="0"/>
    <cellStyle name="Normal 2" xfId="1" xr:uid="{982DA5F4-2731-4CE6-8660-2906171AC7CC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left style="thin">
          <color indexed="9"/>
        </left>
        <top style="thin">
          <color indexed="9"/>
        </top>
      </border>
    </dxf>
    <dxf>
      <border outline="0">
        <bottom style="thin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solid">
          <fgColor indexed="64"/>
          <bgColor rgb="FF89BEBA"/>
        </patternFill>
      </fill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A5E1347-5F07-4885-9A05-A1C0A07C2F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6CB85B1-9E0E-439A-A2AD-AC38CD14F7C4}" autoFormatId="16" applyNumberFormats="0" applyBorderFormats="0" applyFontFormats="0" applyPatternFormats="0" applyAlignmentFormats="0" applyWidthHeightFormats="0">
  <queryTableRefresh nextId="4">
    <queryTableFields count="3">
      <queryTableField id="1" name=" " tableColumnId="1"/>
      <queryTableField id="2" name="NºPersonas rangoNucleo" tableColumnId="2"/>
      <queryTableField id="3" name="Habitant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3FBC89-FF78-4DB4-8E4F-DAE37BA13F08}" autoFormatId="16" applyNumberFormats="0" applyBorderFormats="0" applyFontFormats="0" applyPatternFormats="0" applyAlignmentFormats="0" applyWidthHeightFormats="0">
  <queryTableRefresh nextId="4">
    <queryTableFields count="3">
      <queryTableField id="1" name=" " tableColumnId="1"/>
      <queryTableField id="2" name="Tipo Unidad Familiar" tableColumnId="2"/>
      <queryTableField id="3" name="Població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9E1669-7B61-4AD0-9EE8-E690198747A4}" name="Tabla5_1" displayName="Tabla5_1" ref="A1:C56" tableType="queryTable" totalsRowShown="0">
  <autoFilter ref="A1:C56" xr:uid="{009E1669-7B61-4AD0-9EE8-E690198747A4}"/>
  <tableColumns count="3">
    <tableColumn id="1" xr3:uid="{C91B5843-09C3-498D-B4EE-2CBA5ECF7858}" uniqueName="1" name=" " queryTableFieldId="1" dataDxfId="24"/>
    <tableColumn id="2" xr3:uid="{EFB5349E-7557-4171-9199-522B611D4210}" uniqueName="2" name="NºPersonas rangoNucleo" queryTableFieldId="2" dataDxfId="23"/>
    <tableColumn id="3" xr3:uid="{6AE15327-B029-429A-B0F3-555296158E2E}" uniqueName="3" name="Habitant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BD1F2-9563-490B-90AF-EF295DA3A7BF}" name="Tabla5" displayName="Tabla5" ref="A1:K20" totalsRowShown="0" headerRowDxfId="22" headerRowBorderDxfId="21" tableBorderDxfId="20">
  <autoFilter ref="A1:K20" xr:uid="{88DBD1F2-9563-490B-90AF-EF295DA3A7BF}"/>
  <tableColumns count="11">
    <tableColumn id="1" xr3:uid="{42A357EE-94D8-4A9B-87B1-C397556BC0ED}" name="Columna1" dataDxfId="19"/>
    <tableColumn id="2" xr3:uid="{B76091E0-A334-4F00-BD43-7B16BDC5DB17}" name="Columna2" dataDxfId="18"/>
    <tableColumn id="3" xr3:uid="{6E486E2A-CE04-44D2-B327-0CF863E7ADB0}" name="Columna3" dataDxfId="17"/>
    <tableColumn id="4" xr3:uid="{2A30E28C-3A12-4E39-A852-BAC19A24D004}" name="Columna4" dataDxfId="16"/>
    <tableColumn id="5" xr3:uid="{5FAD9376-06CB-40E1-ABD6-28CCFB93B29B}" name="Columna5" dataDxfId="15"/>
    <tableColumn id="6" xr3:uid="{48CD2501-B10D-498B-8ED1-0AC76D573DE2}" name="Columna6" dataDxfId="14"/>
    <tableColumn id="7" xr3:uid="{96741C28-718C-44B5-8117-7752C630949E}" name="Columna7" dataDxfId="13"/>
    <tableColumn id="8" xr3:uid="{85720217-CF21-400E-9AB8-4166258AA1DE}" name="Columna8"/>
    <tableColumn id="9" xr3:uid="{FBB0D26D-466B-463A-8BF5-FFDACBE07DBC}" name="Columna9"/>
    <tableColumn id="10" xr3:uid="{E6BCDD60-3E18-422B-864E-29004274C517}" name="Columna10"/>
    <tableColumn id="11" xr3:uid="{B984A0A8-60E2-4A23-A17D-D38CB2F6F1F0}" name="Columna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AEF4C-9F07-4610-8B70-DB439CF98C74}" name="Tabla2_1" displayName="Tabla2_1" ref="A1:C17" tableType="queryTable" totalsRowShown="0">
  <autoFilter ref="A1:C17" xr:uid="{AE5AEF4C-9F07-4610-8B70-DB439CF98C74}"/>
  <tableColumns count="3">
    <tableColumn id="1" xr3:uid="{07652C07-CDCD-464E-A1A0-056035461C41}" uniqueName="1" name=" " queryTableFieldId="1" dataDxfId="12"/>
    <tableColumn id="2" xr3:uid="{E426D3EC-B45A-4376-AC65-75FD49B5F5EB}" uniqueName="2" name="Tipo Unidad Familiar" queryTableFieldId="2" dataDxfId="11"/>
    <tableColumn id="3" xr3:uid="{A1574490-4C1D-48C9-A4A6-CC5A9A172149}" uniqueName="3" name="Población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E4A18D-0D77-4A57-8E20-0D2BF7F682C0}" name="Tabla2" displayName="Tabla2" ref="A1:F6" totalsRowShown="0" headerRowDxfId="10" dataDxfId="8" headerRowBorderDxfId="9" tableBorderDxfId="7" totalsRowBorderDxfId="6" headerRowCellStyle="Normal 2" dataCellStyle="Normal 2">
  <autoFilter ref="A1:F6" xr:uid="{C3E4A18D-0D77-4A57-8E20-0D2BF7F682C0}"/>
  <tableColumns count="6">
    <tableColumn id="1" xr3:uid="{47DE5F7E-49AA-4B04-9BD4-BDA6627928B9}" name=" " dataDxfId="5" dataCellStyle="Normal 2"/>
    <tableColumn id="2" xr3:uid="{C10F5555-0322-4301-8678-2A0808362EC4}" name="Total (tipo del núcleo)" dataDxfId="4" dataCellStyle="Normal 2"/>
    <tableColumn id="3" xr3:uid="{223C37CB-6591-4C36-884D-65749347E022}" name="Pareja sin hijos" dataDxfId="3" dataCellStyle="Normal 2"/>
    <tableColumn id="4" xr3:uid="{BCFF0C2A-F692-4EF0-994E-AFC88C916BA2}" name="Pareja con hijos" dataDxfId="2" dataCellStyle="Normal 2"/>
    <tableColumn id="5" xr3:uid="{4A8A5E73-369A-4A51-8AE0-E49C6BAD4CC7}" name="Mujer con hijos" dataDxfId="1" dataCellStyle="Normal 2"/>
    <tableColumn id="6" xr3:uid="{6F41E192-73A6-4784-98F6-A0C729D87B98}" name="Hombre con hij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C3D8-DAFC-4471-921F-D5FF3461BF47}">
  <dimension ref="A1:C56"/>
  <sheetViews>
    <sheetView topLeftCell="A37" workbookViewId="0">
      <selection sqref="A1:C56"/>
    </sheetView>
  </sheetViews>
  <sheetFormatPr baseColWidth="10" defaultRowHeight="15" x14ac:dyDescent="0.25"/>
  <cols>
    <col min="1" max="1" width="20.85546875" bestFit="1" customWidth="1"/>
    <col min="2" max="2" width="24" bestFit="1" customWidth="1"/>
    <col min="3" max="3" width="12.42578125" bestFit="1" customWidth="1"/>
  </cols>
  <sheetData>
    <row r="1" spans="1:3" x14ac:dyDescent="0.25">
      <c r="A1" t="s">
        <v>5</v>
      </c>
      <c r="B1" t="s">
        <v>52</v>
      </c>
      <c r="C1" t="s">
        <v>53</v>
      </c>
    </row>
    <row r="2" spans="1:3" x14ac:dyDescent="0.25">
      <c r="A2" t="s">
        <v>13</v>
      </c>
      <c r="B2" t="s">
        <v>7</v>
      </c>
      <c r="C2">
        <v>19485</v>
      </c>
    </row>
    <row r="3" spans="1:3" x14ac:dyDescent="0.25">
      <c r="A3" t="s">
        <v>13</v>
      </c>
      <c r="B3" t="s">
        <v>8</v>
      </c>
      <c r="C3">
        <v>10383</v>
      </c>
    </row>
    <row r="4" spans="1:3" x14ac:dyDescent="0.25">
      <c r="A4" t="s">
        <v>13</v>
      </c>
      <c r="B4" t="s">
        <v>9</v>
      </c>
      <c r="C4">
        <v>5285</v>
      </c>
    </row>
    <row r="5" spans="1:3" x14ac:dyDescent="0.25">
      <c r="A5" t="s">
        <v>13</v>
      </c>
      <c r="B5" t="s">
        <v>10</v>
      </c>
      <c r="C5">
        <v>2967</v>
      </c>
    </row>
    <row r="6" spans="1:3" x14ac:dyDescent="0.25">
      <c r="A6" t="s">
        <v>13</v>
      </c>
      <c r="B6" t="s">
        <v>11</v>
      </c>
      <c r="C6">
        <v>1715</v>
      </c>
    </row>
    <row r="7" spans="1:3" x14ac:dyDescent="0.25">
      <c r="A7" t="s">
        <v>14</v>
      </c>
      <c r="B7" t="s">
        <v>7</v>
      </c>
      <c r="C7">
        <v>117872</v>
      </c>
    </row>
    <row r="8" spans="1:3" x14ac:dyDescent="0.25">
      <c r="A8" t="s">
        <v>14</v>
      </c>
      <c r="B8" t="s">
        <v>8</v>
      </c>
      <c r="C8">
        <v>81210</v>
      </c>
    </row>
    <row r="9" spans="1:3" x14ac:dyDescent="0.25">
      <c r="A9" t="s">
        <v>14</v>
      </c>
      <c r="B9" t="s">
        <v>9</v>
      </c>
      <c r="C9">
        <v>48601</v>
      </c>
    </row>
    <row r="10" spans="1:3" x14ac:dyDescent="0.25">
      <c r="A10" t="s">
        <v>14</v>
      </c>
      <c r="B10" t="s">
        <v>10</v>
      </c>
      <c r="C10">
        <v>33168</v>
      </c>
    </row>
    <row r="11" spans="1:3" x14ac:dyDescent="0.25">
      <c r="A11" t="s">
        <v>14</v>
      </c>
      <c r="B11" t="s">
        <v>11</v>
      </c>
      <c r="C11">
        <v>15776</v>
      </c>
    </row>
    <row r="12" spans="1:3" x14ac:dyDescent="0.25">
      <c r="A12" t="s">
        <v>15</v>
      </c>
      <c r="B12" t="s">
        <v>7</v>
      </c>
      <c r="C12">
        <v>107242</v>
      </c>
    </row>
    <row r="13" spans="1:3" x14ac:dyDescent="0.25">
      <c r="A13" t="s">
        <v>15</v>
      </c>
      <c r="B13" t="s">
        <v>8</v>
      </c>
      <c r="C13">
        <v>86379</v>
      </c>
    </row>
    <row r="14" spans="1:3" x14ac:dyDescent="0.25">
      <c r="A14" t="s">
        <v>15</v>
      </c>
      <c r="B14" t="s">
        <v>9</v>
      </c>
      <c r="C14">
        <v>55765</v>
      </c>
    </row>
    <row r="15" spans="1:3" x14ac:dyDescent="0.25">
      <c r="A15" t="s">
        <v>15</v>
      </c>
      <c r="B15" t="s">
        <v>10</v>
      </c>
      <c r="C15">
        <v>42040</v>
      </c>
    </row>
    <row r="16" spans="1:3" x14ac:dyDescent="0.25">
      <c r="A16" t="s">
        <v>15</v>
      </c>
      <c r="B16" t="s">
        <v>11</v>
      </c>
      <c r="C16">
        <v>17772</v>
      </c>
    </row>
    <row r="17" spans="1:3" x14ac:dyDescent="0.25">
      <c r="A17" t="s">
        <v>16</v>
      </c>
      <c r="B17" t="s">
        <v>7</v>
      </c>
      <c r="C17">
        <v>164321</v>
      </c>
    </row>
    <row r="18" spans="1:3" x14ac:dyDescent="0.25">
      <c r="A18" t="s">
        <v>16</v>
      </c>
      <c r="B18" t="s">
        <v>8</v>
      </c>
      <c r="C18">
        <v>143901</v>
      </c>
    </row>
    <row r="19" spans="1:3" x14ac:dyDescent="0.25">
      <c r="A19" t="s">
        <v>16</v>
      </c>
      <c r="B19" t="s">
        <v>9</v>
      </c>
      <c r="C19">
        <v>98008</v>
      </c>
    </row>
    <row r="20" spans="1:3" x14ac:dyDescent="0.25">
      <c r="A20" t="s">
        <v>16</v>
      </c>
      <c r="B20" t="s">
        <v>10</v>
      </c>
      <c r="C20">
        <v>76846</v>
      </c>
    </row>
    <row r="21" spans="1:3" x14ac:dyDescent="0.25">
      <c r="A21" t="s">
        <v>16</v>
      </c>
      <c r="B21" t="s">
        <v>11</v>
      </c>
      <c r="C21">
        <v>31601</v>
      </c>
    </row>
    <row r="22" spans="1:3" x14ac:dyDescent="0.25">
      <c r="A22" t="s">
        <v>17</v>
      </c>
      <c r="B22" t="s">
        <v>7</v>
      </c>
      <c r="C22">
        <v>329092</v>
      </c>
    </row>
    <row r="23" spans="1:3" x14ac:dyDescent="0.25">
      <c r="A23" t="s">
        <v>17</v>
      </c>
      <c r="B23" t="s">
        <v>8</v>
      </c>
      <c r="C23">
        <v>329261</v>
      </c>
    </row>
    <row r="24" spans="1:3" x14ac:dyDescent="0.25">
      <c r="A24" t="s">
        <v>17</v>
      </c>
      <c r="B24" t="s">
        <v>9</v>
      </c>
      <c r="C24">
        <v>242732</v>
      </c>
    </row>
    <row r="25" spans="1:3" x14ac:dyDescent="0.25">
      <c r="A25" t="s">
        <v>17</v>
      </c>
      <c r="B25" t="s">
        <v>10</v>
      </c>
      <c r="C25">
        <v>202974</v>
      </c>
    </row>
    <row r="26" spans="1:3" x14ac:dyDescent="0.25">
      <c r="A26" t="s">
        <v>17</v>
      </c>
      <c r="B26" t="s">
        <v>11</v>
      </c>
      <c r="C26">
        <v>83872</v>
      </c>
    </row>
    <row r="27" spans="1:3" x14ac:dyDescent="0.25">
      <c r="A27" t="s">
        <v>18</v>
      </c>
      <c r="B27" t="s">
        <v>7</v>
      </c>
      <c r="C27">
        <v>384647</v>
      </c>
    </row>
    <row r="28" spans="1:3" x14ac:dyDescent="0.25">
      <c r="A28" t="s">
        <v>18</v>
      </c>
      <c r="B28" t="s">
        <v>8</v>
      </c>
      <c r="C28">
        <v>411177</v>
      </c>
    </row>
    <row r="29" spans="1:3" x14ac:dyDescent="0.25">
      <c r="A29" t="s">
        <v>18</v>
      </c>
      <c r="B29" t="s">
        <v>9</v>
      </c>
      <c r="C29">
        <v>320623</v>
      </c>
    </row>
    <row r="30" spans="1:3" x14ac:dyDescent="0.25">
      <c r="A30" t="s">
        <v>18</v>
      </c>
      <c r="B30" t="s">
        <v>10</v>
      </c>
      <c r="C30">
        <v>277040</v>
      </c>
    </row>
    <row r="31" spans="1:3" x14ac:dyDescent="0.25">
      <c r="A31" t="s">
        <v>18</v>
      </c>
      <c r="B31" t="s">
        <v>11</v>
      </c>
      <c r="C31">
        <v>112169</v>
      </c>
    </row>
    <row r="32" spans="1:3" x14ac:dyDescent="0.25">
      <c r="A32" t="s">
        <v>19</v>
      </c>
      <c r="B32" t="s">
        <v>7</v>
      </c>
      <c r="C32">
        <v>471336</v>
      </c>
    </row>
    <row r="33" spans="1:3" x14ac:dyDescent="0.25">
      <c r="A33" t="s">
        <v>19</v>
      </c>
      <c r="B33" t="s">
        <v>8</v>
      </c>
      <c r="C33">
        <v>517794</v>
      </c>
    </row>
    <row r="34" spans="1:3" x14ac:dyDescent="0.25">
      <c r="A34" t="s">
        <v>19</v>
      </c>
      <c r="B34" t="s">
        <v>9</v>
      </c>
      <c r="C34">
        <v>399758</v>
      </c>
    </row>
    <row r="35" spans="1:3" x14ac:dyDescent="0.25">
      <c r="A35" t="s">
        <v>19</v>
      </c>
      <c r="B35" t="s">
        <v>10</v>
      </c>
      <c r="C35">
        <v>345573</v>
      </c>
    </row>
    <row r="36" spans="1:3" x14ac:dyDescent="0.25">
      <c r="A36" t="s">
        <v>19</v>
      </c>
      <c r="B36" t="s">
        <v>11</v>
      </c>
      <c r="C36">
        <v>143033</v>
      </c>
    </row>
    <row r="37" spans="1:3" x14ac:dyDescent="0.25">
      <c r="A37" t="s">
        <v>20</v>
      </c>
      <c r="B37" t="s">
        <v>7</v>
      </c>
      <c r="C37">
        <v>736462</v>
      </c>
    </row>
    <row r="38" spans="1:3" x14ac:dyDescent="0.25">
      <c r="A38" t="s">
        <v>20</v>
      </c>
      <c r="B38" t="s">
        <v>8</v>
      </c>
      <c r="C38">
        <v>821093</v>
      </c>
    </row>
    <row r="39" spans="1:3" x14ac:dyDescent="0.25">
      <c r="A39" t="s">
        <v>20</v>
      </c>
      <c r="B39" t="s">
        <v>9</v>
      </c>
      <c r="C39">
        <v>642660</v>
      </c>
    </row>
    <row r="40" spans="1:3" x14ac:dyDescent="0.25">
      <c r="A40" t="s">
        <v>20</v>
      </c>
      <c r="B40" t="s">
        <v>10</v>
      </c>
      <c r="C40">
        <v>544813</v>
      </c>
    </row>
    <row r="41" spans="1:3" x14ac:dyDescent="0.25">
      <c r="A41" t="s">
        <v>20</v>
      </c>
      <c r="B41" t="s">
        <v>11</v>
      </c>
      <c r="C41">
        <v>233319</v>
      </c>
    </row>
    <row r="42" spans="1:3" x14ac:dyDescent="0.25">
      <c r="A42" t="s">
        <v>21</v>
      </c>
      <c r="B42" t="s">
        <v>7</v>
      </c>
      <c r="C42">
        <v>592173</v>
      </c>
    </row>
    <row r="43" spans="1:3" x14ac:dyDescent="0.25">
      <c r="A43" t="s">
        <v>21</v>
      </c>
      <c r="B43" t="s">
        <v>8</v>
      </c>
      <c r="C43">
        <v>647487</v>
      </c>
    </row>
    <row r="44" spans="1:3" x14ac:dyDescent="0.25">
      <c r="A44" t="s">
        <v>21</v>
      </c>
      <c r="B44" t="s">
        <v>9</v>
      </c>
      <c r="C44">
        <v>499864</v>
      </c>
    </row>
    <row r="45" spans="1:3" x14ac:dyDescent="0.25">
      <c r="A45" t="s">
        <v>21</v>
      </c>
      <c r="B45" t="s">
        <v>10</v>
      </c>
      <c r="C45">
        <v>417946</v>
      </c>
    </row>
    <row r="46" spans="1:3" x14ac:dyDescent="0.25">
      <c r="A46" t="s">
        <v>21</v>
      </c>
      <c r="B46" t="s">
        <v>11</v>
      </c>
      <c r="C46">
        <v>192785</v>
      </c>
    </row>
    <row r="47" spans="1:3" x14ac:dyDescent="0.25">
      <c r="A47" t="s">
        <v>22</v>
      </c>
      <c r="B47" t="s">
        <v>7</v>
      </c>
      <c r="C47">
        <v>1169883</v>
      </c>
    </row>
    <row r="48" spans="1:3" x14ac:dyDescent="0.25">
      <c r="A48" t="s">
        <v>22</v>
      </c>
      <c r="B48" t="s">
        <v>8</v>
      </c>
      <c r="C48">
        <v>1259251</v>
      </c>
    </row>
    <row r="49" spans="1:3" x14ac:dyDescent="0.25">
      <c r="A49" t="s">
        <v>22</v>
      </c>
      <c r="B49" t="s">
        <v>9</v>
      </c>
      <c r="C49">
        <v>922978</v>
      </c>
    </row>
    <row r="50" spans="1:3" x14ac:dyDescent="0.25">
      <c r="A50" t="s">
        <v>22</v>
      </c>
      <c r="B50" t="s">
        <v>10</v>
      </c>
      <c r="C50">
        <v>722467</v>
      </c>
    </row>
    <row r="51" spans="1:3" x14ac:dyDescent="0.25">
      <c r="A51" t="s">
        <v>22</v>
      </c>
      <c r="B51" t="s">
        <v>11</v>
      </c>
      <c r="C51">
        <v>322419</v>
      </c>
    </row>
    <row r="52" spans="1:3" x14ac:dyDescent="0.25">
      <c r="A52" t="s">
        <v>23</v>
      </c>
      <c r="B52" t="s">
        <v>7</v>
      </c>
      <c r="C52">
        <v>908653</v>
      </c>
    </row>
    <row r="53" spans="1:3" x14ac:dyDescent="0.25">
      <c r="A53" t="s">
        <v>23</v>
      </c>
      <c r="B53" t="s">
        <v>8</v>
      </c>
      <c r="C53">
        <v>895813</v>
      </c>
    </row>
    <row r="54" spans="1:3" x14ac:dyDescent="0.25">
      <c r="A54" t="s">
        <v>23</v>
      </c>
      <c r="B54" t="s">
        <v>9</v>
      </c>
      <c r="C54">
        <v>601708</v>
      </c>
    </row>
    <row r="55" spans="1:3" x14ac:dyDescent="0.25">
      <c r="A55" t="s">
        <v>23</v>
      </c>
      <c r="B55" t="s">
        <v>10</v>
      </c>
      <c r="C55">
        <v>457382</v>
      </c>
    </row>
    <row r="56" spans="1:3" x14ac:dyDescent="0.25">
      <c r="A56" t="s">
        <v>23</v>
      </c>
      <c r="B56" t="s">
        <v>11</v>
      </c>
      <c r="C56">
        <v>218649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7257-064F-4CE7-AE8F-C914340C39C3}">
  <dimension ref="A5:K74"/>
  <sheetViews>
    <sheetView topLeftCell="A10" workbookViewId="0">
      <selection activeCell="G64" sqref="G64"/>
    </sheetView>
  </sheetViews>
  <sheetFormatPr baseColWidth="10" defaultRowHeight="15" x14ac:dyDescent="0.25"/>
  <cols>
    <col min="3" max="3" width="20.85546875" bestFit="1" customWidth="1"/>
  </cols>
  <sheetData>
    <row r="5" spans="1:11" x14ac:dyDescent="0.25">
      <c r="A5" s="33" t="s">
        <v>34</v>
      </c>
      <c r="B5" s="33" t="s">
        <v>35</v>
      </c>
      <c r="C5" s="33" t="s">
        <v>36</v>
      </c>
      <c r="D5" s="33" t="s">
        <v>37</v>
      </c>
      <c r="E5" s="33" t="s">
        <v>38</v>
      </c>
      <c r="F5" s="33" t="s">
        <v>39</v>
      </c>
      <c r="G5" s="33" t="s">
        <v>40</v>
      </c>
      <c r="H5" s="33" t="s">
        <v>41</v>
      </c>
      <c r="I5" s="33" t="s">
        <v>42</v>
      </c>
      <c r="J5" s="33" t="s">
        <v>43</v>
      </c>
      <c r="K5" s="33" t="s">
        <v>44</v>
      </c>
    </row>
    <row r="6" spans="1:11" x14ac:dyDescent="0.25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x14ac:dyDescent="0.25">
      <c r="A7" s="35" t="s">
        <v>1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x14ac:dyDescent="0.25">
      <c r="A8" s="6" t="s">
        <v>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x14ac:dyDescent="0.25">
      <c r="A10" s="37" t="s">
        <v>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25">
      <c r="A11" s="6" t="s">
        <v>2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3" spans="1:11" x14ac:dyDescent="0.25">
      <c r="C13" t="s">
        <v>54</v>
      </c>
      <c r="D13" t="s">
        <v>52</v>
      </c>
      <c r="E13" t="s">
        <v>53</v>
      </c>
    </row>
    <row r="14" spans="1:11" x14ac:dyDescent="0.25">
      <c r="C14" t="s">
        <v>13</v>
      </c>
      <c r="D14" t="s">
        <v>7</v>
      </c>
      <c r="E14">
        <v>19485</v>
      </c>
    </row>
    <row r="15" spans="1:11" x14ac:dyDescent="0.25">
      <c r="C15" t="s">
        <v>13</v>
      </c>
      <c r="D15" t="s">
        <v>8</v>
      </c>
      <c r="E15">
        <v>10383</v>
      </c>
    </row>
    <row r="16" spans="1:11" x14ac:dyDescent="0.25">
      <c r="C16" t="s">
        <v>13</v>
      </c>
      <c r="D16" t="s">
        <v>9</v>
      </c>
      <c r="E16">
        <v>5285</v>
      </c>
    </row>
    <row r="17" spans="3:5" x14ac:dyDescent="0.25">
      <c r="C17" t="s">
        <v>13</v>
      </c>
      <c r="D17" t="s">
        <v>10</v>
      </c>
      <c r="E17">
        <v>2967</v>
      </c>
    </row>
    <row r="18" spans="3:5" x14ac:dyDescent="0.25">
      <c r="C18" t="s">
        <v>13</v>
      </c>
      <c r="D18" t="s">
        <v>11</v>
      </c>
      <c r="E18">
        <v>1715</v>
      </c>
    </row>
    <row r="19" spans="3:5" x14ac:dyDescent="0.25">
      <c r="C19" t="s">
        <v>14</v>
      </c>
      <c r="D19" t="s">
        <v>7</v>
      </c>
      <c r="E19">
        <v>117872</v>
      </c>
    </row>
    <row r="20" spans="3:5" x14ac:dyDescent="0.25">
      <c r="C20" t="s">
        <v>14</v>
      </c>
      <c r="D20" t="s">
        <v>8</v>
      </c>
      <c r="E20">
        <v>81210</v>
      </c>
    </row>
    <row r="21" spans="3:5" x14ac:dyDescent="0.25">
      <c r="C21" t="s">
        <v>14</v>
      </c>
      <c r="D21" t="s">
        <v>9</v>
      </c>
      <c r="E21">
        <v>48601</v>
      </c>
    </row>
    <row r="22" spans="3:5" x14ac:dyDescent="0.25">
      <c r="C22" t="s">
        <v>14</v>
      </c>
      <c r="D22" t="s">
        <v>10</v>
      </c>
      <c r="E22">
        <v>33168</v>
      </c>
    </row>
    <row r="23" spans="3:5" x14ac:dyDescent="0.25">
      <c r="C23" t="s">
        <v>14</v>
      </c>
      <c r="D23" t="s">
        <v>11</v>
      </c>
      <c r="E23">
        <v>15776</v>
      </c>
    </row>
    <row r="24" spans="3:5" x14ac:dyDescent="0.25">
      <c r="C24" t="s">
        <v>15</v>
      </c>
      <c r="D24" t="s">
        <v>7</v>
      </c>
      <c r="E24">
        <v>107242</v>
      </c>
    </row>
    <row r="25" spans="3:5" x14ac:dyDescent="0.25">
      <c r="C25" t="s">
        <v>15</v>
      </c>
      <c r="D25" t="s">
        <v>8</v>
      </c>
      <c r="E25">
        <v>86379</v>
      </c>
    </row>
    <row r="26" spans="3:5" x14ac:dyDescent="0.25">
      <c r="C26" t="s">
        <v>15</v>
      </c>
      <c r="D26" t="s">
        <v>9</v>
      </c>
      <c r="E26">
        <v>55765</v>
      </c>
    </row>
    <row r="27" spans="3:5" x14ac:dyDescent="0.25">
      <c r="C27" t="s">
        <v>15</v>
      </c>
      <c r="D27" t="s">
        <v>10</v>
      </c>
      <c r="E27">
        <v>42040</v>
      </c>
    </row>
    <row r="28" spans="3:5" x14ac:dyDescent="0.25">
      <c r="C28" t="s">
        <v>15</v>
      </c>
      <c r="D28" t="s">
        <v>11</v>
      </c>
      <c r="E28">
        <v>17772</v>
      </c>
    </row>
    <row r="29" spans="3:5" x14ac:dyDescent="0.25">
      <c r="C29" t="s">
        <v>16</v>
      </c>
      <c r="D29" t="s">
        <v>7</v>
      </c>
      <c r="E29">
        <v>164321</v>
      </c>
    </row>
    <row r="30" spans="3:5" x14ac:dyDescent="0.25">
      <c r="C30" t="s">
        <v>16</v>
      </c>
      <c r="D30" t="s">
        <v>8</v>
      </c>
      <c r="E30">
        <v>143901</v>
      </c>
    </row>
    <row r="31" spans="3:5" x14ac:dyDescent="0.25">
      <c r="C31" t="s">
        <v>16</v>
      </c>
      <c r="D31" t="s">
        <v>9</v>
      </c>
      <c r="E31">
        <v>98008</v>
      </c>
    </row>
    <row r="32" spans="3:5" x14ac:dyDescent="0.25">
      <c r="C32" t="s">
        <v>16</v>
      </c>
      <c r="D32" t="s">
        <v>10</v>
      </c>
      <c r="E32">
        <v>76846</v>
      </c>
    </row>
    <row r="33" spans="3:5" x14ac:dyDescent="0.25">
      <c r="C33" t="s">
        <v>16</v>
      </c>
      <c r="D33" t="s">
        <v>11</v>
      </c>
      <c r="E33">
        <v>31601</v>
      </c>
    </row>
    <row r="34" spans="3:5" x14ac:dyDescent="0.25">
      <c r="C34" t="s">
        <v>17</v>
      </c>
      <c r="D34" t="s">
        <v>7</v>
      </c>
      <c r="E34">
        <v>329092</v>
      </c>
    </row>
    <row r="35" spans="3:5" x14ac:dyDescent="0.25">
      <c r="C35" t="s">
        <v>17</v>
      </c>
      <c r="D35" t="s">
        <v>8</v>
      </c>
      <c r="E35">
        <v>329261</v>
      </c>
    </row>
    <row r="36" spans="3:5" x14ac:dyDescent="0.25">
      <c r="C36" t="s">
        <v>17</v>
      </c>
      <c r="D36" t="s">
        <v>9</v>
      </c>
      <c r="E36">
        <v>242732</v>
      </c>
    </row>
    <row r="37" spans="3:5" x14ac:dyDescent="0.25">
      <c r="C37" t="s">
        <v>17</v>
      </c>
      <c r="D37" t="s">
        <v>10</v>
      </c>
      <c r="E37">
        <v>202974</v>
      </c>
    </row>
    <row r="38" spans="3:5" x14ac:dyDescent="0.25">
      <c r="C38" t="s">
        <v>17</v>
      </c>
      <c r="D38" t="s">
        <v>11</v>
      </c>
      <c r="E38">
        <v>83872</v>
      </c>
    </row>
    <row r="39" spans="3:5" x14ac:dyDescent="0.25">
      <c r="C39" t="s">
        <v>18</v>
      </c>
      <c r="D39" t="s">
        <v>7</v>
      </c>
      <c r="E39">
        <v>384647</v>
      </c>
    </row>
    <row r="40" spans="3:5" x14ac:dyDescent="0.25">
      <c r="C40" t="s">
        <v>18</v>
      </c>
      <c r="D40" t="s">
        <v>8</v>
      </c>
      <c r="E40">
        <v>411177</v>
      </c>
    </row>
    <row r="41" spans="3:5" x14ac:dyDescent="0.25">
      <c r="C41" t="s">
        <v>18</v>
      </c>
      <c r="D41" t="s">
        <v>9</v>
      </c>
      <c r="E41">
        <v>320623</v>
      </c>
    </row>
    <row r="42" spans="3:5" x14ac:dyDescent="0.25">
      <c r="C42" t="s">
        <v>18</v>
      </c>
      <c r="D42" t="s">
        <v>10</v>
      </c>
      <c r="E42">
        <v>277040</v>
      </c>
    </row>
    <row r="43" spans="3:5" x14ac:dyDescent="0.25">
      <c r="C43" t="s">
        <v>18</v>
      </c>
      <c r="D43" t="s">
        <v>11</v>
      </c>
      <c r="E43">
        <v>112169</v>
      </c>
    </row>
    <row r="44" spans="3:5" x14ac:dyDescent="0.25">
      <c r="C44" t="s">
        <v>19</v>
      </c>
      <c r="D44" t="s">
        <v>7</v>
      </c>
      <c r="E44">
        <v>471336</v>
      </c>
    </row>
    <row r="45" spans="3:5" x14ac:dyDescent="0.25">
      <c r="C45" t="s">
        <v>19</v>
      </c>
      <c r="D45" t="s">
        <v>8</v>
      </c>
      <c r="E45">
        <v>517794</v>
      </c>
    </row>
    <row r="46" spans="3:5" x14ac:dyDescent="0.25">
      <c r="C46" t="s">
        <v>19</v>
      </c>
      <c r="D46" t="s">
        <v>9</v>
      </c>
      <c r="E46">
        <v>399758</v>
      </c>
    </row>
    <row r="47" spans="3:5" x14ac:dyDescent="0.25">
      <c r="C47" t="s">
        <v>19</v>
      </c>
      <c r="D47" t="s">
        <v>10</v>
      </c>
      <c r="E47">
        <v>345573</v>
      </c>
    </row>
    <row r="48" spans="3:5" x14ac:dyDescent="0.25">
      <c r="C48" t="s">
        <v>19</v>
      </c>
      <c r="D48" t="s">
        <v>11</v>
      </c>
      <c r="E48">
        <v>143033</v>
      </c>
    </row>
    <row r="49" spans="3:5" x14ac:dyDescent="0.25">
      <c r="C49" t="s">
        <v>20</v>
      </c>
      <c r="D49" t="s">
        <v>7</v>
      </c>
      <c r="E49">
        <v>736462</v>
      </c>
    </row>
    <row r="50" spans="3:5" x14ac:dyDescent="0.25">
      <c r="C50" t="s">
        <v>20</v>
      </c>
      <c r="D50" t="s">
        <v>8</v>
      </c>
      <c r="E50">
        <v>821093</v>
      </c>
    </row>
    <row r="51" spans="3:5" x14ac:dyDescent="0.25">
      <c r="C51" t="s">
        <v>20</v>
      </c>
      <c r="D51" t="s">
        <v>9</v>
      </c>
      <c r="E51">
        <v>642660</v>
      </c>
    </row>
    <row r="52" spans="3:5" x14ac:dyDescent="0.25">
      <c r="C52" t="s">
        <v>20</v>
      </c>
      <c r="D52" t="s">
        <v>10</v>
      </c>
      <c r="E52">
        <v>544813</v>
      </c>
    </row>
    <row r="53" spans="3:5" x14ac:dyDescent="0.25">
      <c r="C53" t="s">
        <v>20</v>
      </c>
      <c r="D53" t="s">
        <v>11</v>
      </c>
      <c r="E53">
        <v>233319</v>
      </c>
    </row>
    <row r="54" spans="3:5" x14ac:dyDescent="0.25">
      <c r="C54" t="s">
        <v>21</v>
      </c>
      <c r="D54" t="s">
        <v>7</v>
      </c>
      <c r="E54">
        <v>592173</v>
      </c>
    </row>
    <row r="55" spans="3:5" x14ac:dyDescent="0.25">
      <c r="C55" t="s">
        <v>21</v>
      </c>
      <c r="D55" t="s">
        <v>8</v>
      </c>
      <c r="E55">
        <v>647487</v>
      </c>
    </row>
    <row r="56" spans="3:5" x14ac:dyDescent="0.25">
      <c r="C56" t="s">
        <v>21</v>
      </c>
      <c r="D56" t="s">
        <v>9</v>
      </c>
      <c r="E56">
        <v>499864</v>
      </c>
    </row>
    <row r="57" spans="3:5" x14ac:dyDescent="0.25">
      <c r="C57" t="s">
        <v>21</v>
      </c>
      <c r="D57" t="s">
        <v>10</v>
      </c>
      <c r="E57">
        <v>417946</v>
      </c>
    </row>
    <row r="58" spans="3:5" x14ac:dyDescent="0.25">
      <c r="C58" t="s">
        <v>21</v>
      </c>
      <c r="D58" t="s">
        <v>11</v>
      </c>
      <c r="E58">
        <v>192785</v>
      </c>
    </row>
    <row r="59" spans="3:5" x14ac:dyDescent="0.25">
      <c r="C59" t="s">
        <v>22</v>
      </c>
      <c r="D59" t="s">
        <v>7</v>
      </c>
      <c r="E59">
        <v>1169883</v>
      </c>
    </row>
    <row r="60" spans="3:5" x14ac:dyDescent="0.25">
      <c r="C60" t="s">
        <v>22</v>
      </c>
      <c r="D60" t="s">
        <v>8</v>
      </c>
      <c r="E60">
        <v>1259251</v>
      </c>
    </row>
    <row r="61" spans="3:5" x14ac:dyDescent="0.25">
      <c r="C61" t="s">
        <v>22</v>
      </c>
      <c r="D61" t="s">
        <v>9</v>
      </c>
      <c r="E61">
        <v>922978</v>
      </c>
    </row>
    <row r="62" spans="3:5" x14ac:dyDescent="0.25">
      <c r="C62" t="s">
        <v>22</v>
      </c>
      <c r="D62" t="s">
        <v>10</v>
      </c>
      <c r="E62">
        <v>722467</v>
      </c>
    </row>
    <row r="63" spans="3:5" x14ac:dyDescent="0.25">
      <c r="C63" t="s">
        <v>22</v>
      </c>
      <c r="D63" t="s">
        <v>11</v>
      </c>
      <c r="E63">
        <v>322419</v>
      </c>
    </row>
    <row r="64" spans="3:5" x14ac:dyDescent="0.25">
      <c r="C64" t="s">
        <v>23</v>
      </c>
      <c r="D64" t="s">
        <v>7</v>
      </c>
      <c r="E64">
        <v>908653</v>
      </c>
    </row>
    <row r="65" spans="1:5" x14ac:dyDescent="0.25">
      <c r="C65" t="s">
        <v>23</v>
      </c>
      <c r="D65" t="s">
        <v>8</v>
      </c>
      <c r="E65">
        <v>895813</v>
      </c>
    </row>
    <row r="66" spans="1:5" x14ac:dyDescent="0.25">
      <c r="C66" t="s">
        <v>23</v>
      </c>
      <c r="D66" t="s">
        <v>9</v>
      </c>
      <c r="E66">
        <v>601708</v>
      </c>
    </row>
    <row r="67" spans="1:5" x14ac:dyDescent="0.25">
      <c r="C67" t="s">
        <v>23</v>
      </c>
      <c r="D67" t="s">
        <v>10</v>
      </c>
      <c r="E67">
        <v>457382</v>
      </c>
    </row>
    <row r="68" spans="1:5" x14ac:dyDescent="0.25">
      <c r="C68" t="s">
        <v>23</v>
      </c>
      <c r="D68" t="s">
        <v>11</v>
      </c>
      <c r="E68">
        <v>218649</v>
      </c>
    </row>
    <row r="69" spans="1:5" x14ac:dyDescent="0.25">
      <c r="D69" s="23" t="s">
        <v>50</v>
      </c>
      <c r="E69">
        <f>SUM(E14:E68)</f>
        <v>18539223</v>
      </c>
    </row>
    <row r="71" spans="1:5" x14ac:dyDescent="0.25">
      <c r="A71" s="1" t="s">
        <v>24</v>
      </c>
    </row>
    <row r="73" spans="1:5" x14ac:dyDescent="0.25">
      <c r="A73" s="1" t="s">
        <v>25</v>
      </c>
    </row>
    <row r="74" spans="1:5" x14ac:dyDescent="0.25">
      <c r="A7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7" workbookViewId="0">
      <selection activeCell="A21" sqref="A21:A26"/>
    </sheetView>
  </sheetViews>
  <sheetFormatPr baseColWidth="10" defaultColWidth="8.85546875" defaultRowHeight="15" x14ac:dyDescent="0.25"/>
  <cols>
    <col min="1" max="1" width="39.140625" customWidth="1"/>
    <col min="2" max="7" width="19.5703125" customWidth="1"/>
    <col min="8" max="9" width="12.7109375" customWidth="1"/>
    <col min="10" max="11" width="13.7109375" customWidth="1"/>
  </cols>
  <sheetData>
    <row r="1" spans="1:11" x14ac:dyDescent="0.25">
      <c r="A1" s="31" t="s">
        <v>34</v>
      </c>
      <c r="B1" s="32" t="s">
        <v>35</v>
      </c>
      <c r="C1" s="32" t="s">
        <v>36</v>
      </c>
      <c r="D1" s="32" t="s">
        <v>37</v>
      </c>
      <c r="E1" s="32" t="s">
        <v>38</v>
      </c>
      <c r="F1" s="32" t="s">
        <v>39</v>
      </c>
      <c r="G1" s="32" t="s">
        <v>40</v>
      </c>
      <c r="H1" s="32" t="s">
        <v>41</v>
      </c>
      <c r="I1" s="32" t="s">
        <v>42</v>
      </c>
      <c r="J1" s="32" t="s">
        <v>43</v>
      </c>
      <c r="K1" s="32" t="s">
        <v>44</v>
      </c>
    </row>
    <row r="2" spans="1:11" x14ac:dyDescent="0.25">
      <c r="A2" s="2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2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2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2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28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A7" s="2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29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11" x14ac:dyDescent="0.25">
      <c r="A9" s="30" t="s">
        <v>12</v>
      </c>
      <c r="B9" s="3">
        <v>18539223</v>
      </c>
      <c r="C9" s="3">
        <v>5001166</v>
      </c>
      <c r="D9" s="3">
        <v>5203749</v>
      </c>
      <c r="E9" s="3">
        <v>3837982</v>
      </c>
      <c r="F9" s="3">
        <v>3123216</v>
      </c>
      <c r="G9" s="3">
        <v>1373110</v>
      </c>
    </row>
    <row r="10" spans="1:11" x14ac:dyDescent="0.25">
      <c r="A10" s="30" t="s">
        <v>13</v>
      </c>
      <c r="B10" s="3">
        <v>39835</v>
      </c>
      <c r="C10" s="3">
        <v>19485</v>
      </c>
      <c r="D10" s="3">
        <v>10383</v>
      </c>
      <c r="E10" s="3">
        <v>5285</v>
      </c>
      <c r="F10" s="3">
        <v>2967</v>
      </c>
      <c r="G10" s="3">
        <v>1715</v>
      </c>
    </row>
    <row r="11" spans="1:11" x14ac:dyDescent="0.25">
      <c r="A11" s="30" t="s">
        <v>14</v>
      </c>
      <c r="B11" s="3">
        <v>296627</v>
      </c>
      <c r="C11" s="3">
        <v>117872</v>
      </c>
      <c r="D11" s="3">
        <v>81210</v>
      </c>
      <c r="E11" s="3">
        <v>48601</v>
      </c>
      <c r="F11" s="3">
        <v>33168</v>
      </c>
      <c r="G11" s="3">
        <v>15776</v>
      </c>
    </row>
    <row r="12" spans="1:11" x14ac:dyDescent="0.25">
      <c r="A12" s="30" t="s">
        <v>15</v>
      </c>
      <c r="B12" s="3">
        <v>309198</v>
      </c>
      <c r="C12" s="3">
        <v>107242</v>
      </c>
      <c r="D12" s="3">
        <v>86379</v>
      </c>
      <c r="E12" s="3">
        <v>55765</v>
      </c>
      <c r="F12" s="3">
        <v>42040</v>
      </c>
      <c r="G12" s="3">
        <v>17772</v>
      </c>
    </row>
    <row r="13" spans="1:11" x14ac:dyDescent="0.25">
      <c r="A13" s="30" t="s">
        <v>16</v>
      </c>
      <c r="B13" s="3">
        <v>514677</v>
      </c>
      <c r="C13" s="3">
        <v>164321</v>
      </c>
      <c r="D13" s="3">
        <v>143901</v>
      </c>
      <c r="E13" s="3">
        <v>98008</v>
      </c>
      <c r="F13" s="3">
        <v>76846</v>
      </c>
      <c r="G13" s="3">
        <v>31601</v>
      </c>
    </row>
    <row r="14" spans="1:11" x14ac:dyDescent="0.25">
      <c r="A14" s="30" t="s">
        <v>17</v>
      </c>
      <c r="B14" s="3">
        <v>1187931</v>
      </c>
      <c r="C14" s="3">
        <v>329092</v>
      </c>
      <c r="D14" s="3">
        <v>329261</v>
      </c>
      <c r="E14" s="3">
        <v>242732</v>
      </c>
      <c r="F14" s="3">
        <v>202974</v>
      </c>
      <c r="G14" s="3">
        <v>83872</v>
      </c>
    </row>
    <row r="15" spans="1:11" x14ac:dyDescent="0.25">
      <c r="A15" s="30" t="s">
        <v>18</v>
      </c>
      <c r="B15" s="3">
        <v>1505656</v>
      </c>
      <c r="C15" s="3">
        <v>384647</v>
      </c>
      <c r="D15" s="3">
        <v>411177</v>
      </c>
      <c r="E15" s="3">
        <v>320623</v>
      </c>
      <c r="F15" s="3">
        <v>277040</v>
      </c>
      <c r="G15" s="3">
        <v>112169</v>
      </c>
    </row>
    <row r="16" spans="1:11" x14ac:dyDescent="0.25">
      <c r="A16" s="30" t="s">
        <v>19</v>
      </c>
      <c r="B16" s="3">
        <v>1877494</v>
      </c>
      <c r="C16" s="3">
        <v>471336</v>
      </c>
      <c r="D16" s="3">
        <v>517794</v>
      </c>
      <c r="E16" s="3">
        <v>399758</v>
      </c>
      <c r="F16" s="3">
        <v>345573</v>
      </c>
      <c r="G16" s="3">
        <v>143033</v>
      </c>
    </row>
    <row r="17" spans="1:7" x14ac:dyDescent="0.25">
      <c r="A17" s="30" t="s">
        <v>20</v>
      </c>
      <c r="B17" s="3">
        <v>2978347</v>
      </c>
      <c r="C17" s="3">
        <v>736462</v>
      </c>
      <c r="D17" s="3">
        <v>821093</v>
      </c>
      <c r="E17" s="3">
        <v>642660</v>
      </c>
      <c r="F17" s="3">
        <v>544813</v>
      </c>
      <c r="G17" s="3">
        <v>233319</v>
      </c>
    </row>
    <row r="18" spans="1:7" x14ac:dyDescent="0.25">
      <c r="A18" s="30" t="s">
        <v>21</v>
      </c>
      <c r="B18" s="3">
        <v>2350255</v>
      </c>
      <c r="C18" s="3">
        <v>592173</v>
      </c>
      <c r="D18" s="3">
        <v>647487</v>
      </c>
      <c r="E18" s="3">
        <v>499864</v>
      </c>
      <c r="F18" s="3">
        <v>417946</v>
      </c>
      <c r="G18" s="3">
        <v>192785</v>
      </c>
    </row>
    <row r="19" spans="1:7" x14ac:dyDescent="0.25">
      <c r="A19" s="30" t="s">
        <v>22</v>
      </c>
      <c r="B19" s="3">
        <v>4396998</v>
      </c>
      <c r="C19" s="3">
        <v>1169883</v>
      </c>
      <c r="D19" s="3">
        <v>1259251</v>
      </c>
      <c r="E19" s="3">
        <v>922978</v>
      </c>
      <c r="F19" s="3">
        <v>722467</v>
      </c>
      <c r="G19" s="3">
        <v>322419</v>
      </c>
    </row>
    <row r="20" spans="1:7" x14ac:dyDescent="0.25">
      <c r="A20" s="30" t="s">
        <v>23</v>
      </c>
      <c r="B20" s="3">
        <v>3082205</v>
      </c>
      <c r="C20" s="3">
        <v>908653</v>
      </c>
      <c r="D20" s="3">
        <v>895813</v>
      </c>
      <c r="E20" s="3">
        <v>601708</v>
      </c>
      <c r="F20" s="3">
        <v>457382</v>
      </c>
      <c r="G20" s="3">
        <v>218649</v>
      </c>
    </row>
    <row r="22" spans="1:7" x14ac:dyDescent="0.25">
      <c r="A22" s="1" t="s">
        <v>24</v>
      </c>
    </row>
    <row r="24" spans="1:7" x14ac:dyDescent="0.25">
      <c r="A24" s="1" t="s">
        <v>25</v>
      </c>
    </row>
    <row r="25" spans="1:7" x14ac:dyDescent="0.25">
      <c r="A25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A930-561D-4777-9450-B9E130ED7A29}">
  <dimension ref="A1:K18"/>
  <sheetViews>
    <sheetView workbookViewId="0">
      <selection activeCell="D22" sqref="D22"/>
    </sheetView>
  </sheetViews>
  <sheetFormatPr baseColWidth="10" defaultRowHeight="15" x14ac:dyDescent="0.25"/>
  <cols>
    <col min="3" max="3" width="17.28515625" customWidth="1"/>
    <col min="4" max="4" width="15.5703125" customWidth="1"/>
    <col min="5" max="5" width="17.5703125" customWidth="1"/>
  </cols>
  <sheetData>
    <row r="1" spans="1:11" x14ac:dyDescent="0.25">
      <c r="A1" s="41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x14ac:dyDescent="0.2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x14ac:dyDescent="0.25">
      <c r="A3" s="38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40"/>
    </row>
    <row r="4" spans="1:11" x14ac:dyDescent="0.25">
      <c r="A4" s="47" t="s">
        <v>28</v>
      </c>
      <c r="B4" s="48"/>
      <c r="C4" s="48"/>
      <c r="D4" s="48"/>
      <c r="E4" s="48"/>
      <c r="F4" s="48"/>
      <c r="G4" s="48"/>
      <c r="H4" s="48"/>
      <c r="I4" s="48"/>
      <c r="J4" s="48"/>
      <c r="K4" s="49"/>
    </row>
    <row r="5" spans="1:11" x14ac:dyDescent="0.25">
      <c r="A5" s="50" t="s">
        <v>29</v>
      </c>
      <c r="B5" s="51"/>
      <c r="C5" s="51"/>
      <c r="D5" s="51"/>
      <c r="E5" s="51"/>
      <c r="F5" s="51"/>
      <c r="G5" s="51"/>
      <c r="H5" s="51"/>
      <c r="I5" s="51"/>
      <c r="J5" s="51"/>
      <c r="K5" s="52"/>
    </row>
    <row r="6" spans="1:11" x14ac:dyDescent="0.25">
      <c r="A6" s="38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x14ac:dyDescent="0.25">
      <c r="A7" s="12" t="s">
        <v>5</v>
      </c>
      <c r="B7" s="11" t="s">
        <v>30</v>
      </c>
      <c r="C7" s="11" t="s">
        <v>31</v>
      </c>
      <c r="D7" s="11" t="s">
        <v>32</v>
      </c>
      <c r="E7" s="11" t="s">
        <v>45</v>
      </c>
      <c r="F7" s="11" t="s">
        <v>46</v>
      </c>
      <c r="G7" s="9"/>
      <c r="H7" s="9"/>
      <c r="I7" s="9"/>
      <c r="J7" s="9"/>
      <c r="K7" s="9"/>
    </row>
    <row r="8" spans="1:11" x14ac:dyDescent="0.25">
      <c r="A8" s="11" t="s">
        <v>33</v>
      </c>
      <c r="B8" s="13">
        <v>13174873</v>
      </c>
      <c r="C8" s="13">
        <v>3719926</v>
      </c>
      <c r="D8" s="13">
        <v>6339755</v>
      </c>
      <c r="E8" s="13">
        <v>2511237</v>
      </c>
      <c r="F8" s="13">
        <v>603955</v>
      </c>
      <c r="G8" s="9"/>
      <c r="H8" s="9"/>
      <c r="I8" s="9"/>
      <c r="J8" s="9"/>
      <c r="K8" s="9"/>
    </row>
    <row r="9" spans="1:11" x14ac:dyDescent="0.25">
      <c r="A9" s="11" t="s">
        <v>8</v>
      </c>
      <c r="B9" s="13">
        <v>5834602</v>
      </c>
      <c r="C9" s="13">
        <v>3719926</v>
      </c>
      <c r="D9" s="13">
        <v>0</v>
      </c>
      <c r="E9" s="13">
        <v>1689585</v>
      </c>
      <c r="F9" s="13">
        <v>425091</v>
      </c>
      <c r="G9" s="9"/>
      <c r="H9" s="9"/>
      <c r="I9" s="9"/>
      <c r="J9" s="9"/>
      <c r="K9" s="9"/>
    </row>
    <row r="10" spans="1:11" x14ac:dyDescent="0.25">
      <c r="A10" s="11" t="s">
        <v>9</v>
      </c>
      <c r="B10" s="13">
        <v>3838633</v>
      </c>
      <c r="C10" s="13">
        <v>0</v>
      </c>
      <c r="D10" s="13">
        <v>2987799</v>
      </c>
      <c r="E10" s="13">
        <v>698039</v>
      </c>
      <c r="F10" s="13">
        <v>152795</v>
      </c>
      <c r="G10" s="9"/>
      <c r="H10" s="9"/>
      <c r="I10" s="9"/>
      <c r="J10" s="9"/>
      <c r="K10" s="9"/>
    </row>
    <row r="11" spans="1:11" x14ac:dyDescent="0.25">
      <c r="A11" s="11" t="s">
        <v>10</v>
      </c>
      <c r="B11" s="13">
        <v>2862597</v>
      </c>
      <c r="C11" s="13">
        <v>0</v>
      </c>
      <c r="D11" s="13">
        <v>2735774</v>
      </c>
      <c r="E11" s="13">
        <v>105181</v>
      </c>
      <c r="F11" s="13">
        <v>21642</v>
      </c>
      <c r="G11" s="9"/>
      <c r="H11" s="9"/>
      <c r="I11" s="9"/>
      <c r="J11" s="9"/>
      <c r="K11" s="9"/>
    </row>
    <row r="12" spans="1:11" x14ac:dyDescent="0.25">
      <c r="A12" s="11" t="s">
        <v>11</v>
      </c>
      <c r="B12" s="13">
        <v>639041</v>
      </c>
      <c r="C12" s="13">
        <v>0</v>
      </c>
      <c r="D12" s="13">
        <v>616182</v>
      </c>
      <c r="E12" s="13">
        <v>18432</v>
      </c>
      <c r="F12" s="13">
        <v>4427</v>
      </c>
      <c r="G12" s="9"/>
      <c r="H12" s="9"/>
      <c r="I12" s="9"/>
      <c r="J12" s="9"/>
      <c r="K12" s="9"/>
    </row>
    <row r="15" spans="1:11" x14ac:dyDescent="0.25">
      <c r="A15" s="10" t="s">
        <v>24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7" spans="1:1" x14ac:dyDescent="0.25">
      <c r="A17" s="10" t="s">
        <v>25</v>
      </c>
    </row>
    <row r="18" spans="1:1" x14ac:dyDescent="0.25">
      <c r="A18" s="9" t="s">
        <v>26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B6E6-B17A-48CF-B3E3-46384AF5E921}">
  <dimension ref="A1:C17"/>
  <sheetViews>
    <sheetView workbookViewId="0">
      <selection sqref="A1:C17"/>
    </sheetView>
  </sheetViews>
  <sheetFormatPr baseColWidth="10" defaultRowHeight="15" x14ac:dyDescent="0.25"/>
  <cols>
    <col min="1" max="1" width="14.85546875" bestFit="1" customWidth="1"/>
    <col min="2" max="2" width="20.5703125" bestFit="1" customWidth="1"/>
  </cols>
  <sheetData>
    <row r="1" spans="1:3" x14ac:dyDescent="0.25">
      <c r="A1" t="s">
        <v>5</v>
      </c>
      <c r="B1" t="s">
        <v>47</v>
      </c>
      <c r="C1" t="s">
        <v>48</v>
      </c>
    </row>
    <row r="2" spans="1:3" x14ac:dyDescent="0.25">
      <c r="A2" t="s">
        <v>8</v>
      </c>
      <c r="B2" t="s">
        <v>31</v>
      </c>
      <c r="C2">
        <v>3719926</v>
      </c>
    </row>
    <row r="3" spans="1:3" x14ac:dyDescent="0.25">
      <c r="A3" t="s">
        <v>8</v>
      </c>
      <c r="B3" t="s">
        <v>32</v>
      </c>
      <c r="C3">
        <v>0</v>
      </c>
    </row>
    <row r="4" spans="1:3" x14ac:dyDescent="0.25">
      <c r="A4" t="s">
        <v>8</v>
      </c>
      <c r="B4" t="s">
        <v>45</v>
      </c>
      <c r="C4">
        <v>1689585</v>
      </c>
    </row>
    <row r="5" spans="1:3" x14ac:dyDescent="0.25">
      <c r="A5" t="s">
        <v>8</v>
      </c>
      <c r="B5" t="s">
        <v>46</v>
      </c>
      <c r="C5">
        <v>425091</v>
      </c>
    </row>
    <row r="6" spans="1:3" x14ac:dyDescent="0.25">
      <c r="A6" t="s">
        <v>9</v>
      </c>
      <c r="B6" t="s">
        <v>31</v>
      </c>
      <c r="C6">
        <v>0</v>
      </c>
    </row>
    <row r="7" spans="1:3" x14ac:dyDescent="0.25">
      <c r="A7" t="s">
        <v>9</v>
      </c>
      <c r="B7" t="s">
        <v>32</v>
      </c>
      <c r="C7">
        <v>2987799</v>
      </c>
    </row>
    <row r="8" spans="1:3" x14ac:dyDescent="0.25">
      <c r="A8" t="s">
        <v>9</v>
      </c>
      <c r="B8" t="s">
        <v>45</v>
      </c>
      <c r="C8">
        <v>698039</v>
      </c>
    </row>
    <row r="9" spans="1:3" x14ac:dyDescent="0.25">
      <c r="A9" t="s">
        <v>9</v>
      </c>
      <c r="B9" t="s">
        <v>46</v>
      </c>
      <c r="C9">
        <v>152795</v>
      </c>
    </row>
    <row r="10" spans="1:3" x14ac:dyDescent="0.25">
      <c r="A10" t="s">
        <v>10</v>
      </c>
      <c r="B10" t="s">
        <v>31</v>
      </c>
      <c r="C10">
        <v>0</v>
      </c>
    </row>
    <row r="11" spans="1:3" x14ac:dyDescent="0.25">
      <c r="A11" t="s">
        <v>10</v>
      </c>
      <c r="B11" t="s">
        <v>32</v>
      </c>
      <c r="C11">
        <v>2735774</v>
      </c>
    </row>
    <row r="12" spans="1:3" x14ac:dyDescent="0.25">
      <c r="A12" t="s">
        <v>10</v>
      </c>
      <c r="B12" t="s">
        <v>45</v>
      </c>
      <c r="C12">
        <v>105181</v>
      </c>
    </row>
    <row r="13" spans="1:3" x14ac:dyDescent="0.25">
      <c r="A13" t="s">
        <v>10</v>
      </c>
      <c r="B13" t="s">
        <v>46</v>
      </c>
      <c r="C13">
        <v>21642</v>
      </c>
    </row>
    <row r="14" spans="1:3" x14ac:dyDescent="0.25">
      <c r="A14" t="s">
        <v>11</v>
      </c>
      <c r="B14" t="s">
        <v>31</v>
      </c>
      <c r="C14">
        <v>0</v>
      </c>
    </row>
    <row r="15" spans="1:3" x14ac:dyDescent="0.25">
      <c r="A15" t="s">
        <v>11</v>
      </c>
      <c r="B15" t="s">
        <v>32</v>
      </c>
      <c r="C15">
        <v>616182</v>
      </c>
    </row>
    <row r="16" spans="1:3" x14ac:dyDescent="0.25">
      <c r="A16" t="s">
        <v>11</v>
      </c>
      <c r="B16" t="s">
        <v>45</v>
      </c>
      <c r="C16">
        <v>18432</v>
      </c>
    </row>
    <row r="17" spans="1:3" x14ac:dyDescent="0.25">
      <c r="A17" t="s">
        <v>11</v>
      </c>
      <c r="B17" t="s">
        <v>46</v>
      </c>
      <c r="C17">
        <v>4427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C74C-DB79-480D-8A5C-65C1EA74AE1B}">
  <dimension ref="A1:F6"/>
  <sheetViews>
    <sheetView workbookViewId="0">
      <selection activeCell="A4" sqref="A4"/>
    </sheetView>
  </sheetViews>
  <sheetFormatPr baseColWidth="10" defaultRowHeight="15" x14ac:dyDescent="0.25"/>
  <cols>
    <col min="2" max="2" width="21.85546875" customWidth="1"/>
    <col min="3" max="3" width="16.140625" customWidth="1"/>
    <col min="4" max="4" width="16.7109375" customWidth="1"/>
    <col min="5" max="5" width="16.140625" customWidth="1"/>
    <col min="6" max="6" width="18.28515625" customWidth="1"/>
  </cols>
  <sheetData>
    <row r="1" spans="1:6" x14ac:dyDescent="0.25">
      <c r="A1" s="16" t="s">
        <v>5</v>
      </c>
      <c r="B1" s="17" t="s">
        <v>30</v>
      </c>
      <c r="C1" s="17" t="s">
        <v>31</v>
      </c>
      <c r="D1" s="17" t="s">
        <v>32</v>
      </c>
      <c r="E1" s="17" t="s">
        <v>45</v>
      </c>
      <c r="F1" s="18" t="s">
        <v>46</v>
      </c>
    </row>
    <row r="2" spans="1:6" x14ac:dyDescent="0.25">
      <c r="A2" s="14" t="s">
        <v>33</v>
      </c>
      <c r="B2" s="13">
        <v>13174873</v>
      </c>
      <c r="C2" s="13">
        <v>3719926</v>
      </c>
      <c r="D2" s="13">
        <v>6339755</v>
      </c>
      <c r="E2" s="13">
        <v>2511237</v>
      </c>
      <c r="F2" s="15">
        <v>603955</v>
      </c>
    </row>
    <row r="3" spans="1:6" x14ac:dyDescent="0.25">
      <c r="A3" s="14" t="s">
        <v>8</v>
      </c>
      <c r="B3" s="13">
        <v>5834602</v>
      </c>
      <c r="C3" s="13">
        <v>3719926</v>
      </c>
      <c r="D3" s="13">
        <v>0</v>
      </c>
      <c r="E3" s="13">
        <v>1689585</v>
      </c>
      <c r="F3" s="15">
        <v>425091</v>
      </c>
    </row>
    <row r="4" spans="1:6" x14ac:dyDescent="0.25">
      <c r="A4" s="14" t="s">
        <v>9</v>
      </c>
      <c r="B4" s="13">
        <v>3838633</v>
      </c>
      <c r="C4" s="13">
        <v>0</v>
      </c>
      <c r="D4" s="13">
        <v>2987799</v>
      </c>
      <c r="E4" s="13">
        <v>698039</v>
      </c>
      <c r="F4" s="15">
        <v>152795</v>
      </c>
    </row>
    <row r="5" spans="1:6" x14ac:dyDescent="0.25">
      <c r="A5" s="14" t="s">
        <v>10</v>
      </c>
      <c r="B5" s="13">
        <v>2862597</v>
      </c>
      <c r="C5" s="13">
        <v>0</v>
      </c>
      <c r="D5" s="13">
        <v>2735774</v>
      </c>
      <c r="E5" s="13">
        <v>105181</v>
      </c>
      <c r="F5" s="15">
        <v>21642</v>
      </c>
    </row>
    <row r="6" spans="1:6" x14ac:dyDescent="0.25">
      <c r="A6" s="19" t="s">
        <v>11</v>
      </c>
      <c r="B6" s="20">
        <v>639041</v>
      </c>
      <c r="C6" s="20">
        <v>0</v>
      </c>
      <c r="D6" s="20">
        <v>616182</v>
      </c>
      <c r="E6" s="20">
        <v>18432</v>
      </c>
      <c r="F6" s="21">
        <v>4427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6C8A-E9F1-41FA-A269-2295B30EAB3A}">
  <dimension ref="A1:K28"/>
  <sheetViews>
    <sheetView tabSelected="1" topLeftCell="A4" workbookViewId="0">
      <selection activeCell="G15" sqref="G15"/>
    </sheetView>
  </sheetViews>
  <sheetFormatPr baseColWidth="10" defaultRowHeight="15" x14ac:dyDescent="0.25"/>
  <cols>
    <col min="2" max="2" width="20.42578125" bestFit="1" customWidth="1"/>
    <col min="3" max="3" width="17.28515625" bestFit="1" customWidth="1"/>
    <col min="4" max="4" width="14" style="22" bestFit="1" customWidth="1"/>
  </cols>
  <sheetData>
    <row r="1" spans="1:11" x14ac:dyDescent="0.25">
      <c r="A1" s="41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x14ac:dyDescent="0.2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x14ac:dyDescent="0.25">
      <c r="A3" s="38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40"/>
    </row>
    <row r="4" spans="1:11" x14ac:dyDescent="0.25">
      <c r="A4" s="47" t="s">
        <v>28</v>
      </c>
      <c r="B4" s="48"/>
      <c r="C4" s="48"/>
      <c r="D4" s="48"/>
      <c r="E4" s="48"/>
      <c r="F4" s="48"/>
      <c r="G4" s="48"/>
      <c r="H4" s="48"/>
      <c r="I4" s="48"/>
      <c r="J4" s="48"/>
      <c r="K4" s="49"/>
    </row>
    <row r="5" spans="1:11" x14ac:dyDescent="0.25">
      <c r="A5" s="50" t="s">
        <v>29</v>
      </c>
      <c r="B5" s="51"/>
      <c r="C5" s="51"/>
      <c r="D5" s="51"/>
      <c r="E5" s="51"/>
      <c r="F5" s="51"/>
      <c r="G5" s="51"/>
      <c r="H5" s="51"/>
      <c r="I5" s="51"/>
      <c r="J5" s="51"/>
      <c r="K5" s="52"/>
    </row>
    <row r="6" spans="1:11" x14ac:dyDescent="0.25">
      <c r="A6" s="38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x14ac:dyDescent="0.25">
      <c r="B7" t="s">
        <v>49</v>
      </c>
      <c r="C7" t="s">
        <v>47</v>
      </c>
      <c r="D7" s="22" t="s">
        <v>51</v>
      </c>
    </row>
    <row r="8" spans="1:11" x14ac:dyDescent="0.25">
      <c r="B8" t="s">
        <v>8</v>
      </c>
      <c r="C8" t="s">
        <v>31</v>
      </c>
      <c r="D8" s="22">
        <v>3719926</v>
      </c>
    </row>
    <row r="9" spans="1:11" x14ac:dyDescent="0.25">
      <c r="B9" t="s">
        <v>8</v>
      </c>
      <c r="C9" t="s">
        <v>32</v>
      </c>
      <c r="D9" s="22">
        <v>0</v>
      </c>
    </row>
    <row r="10" spans="1:11" x14ac:dyDescent="0.25">
      <c r="B10" t="s">
        <v>8</v>
      </c>
      <c r="C10" t="s">
        <v>45</v>
      </c>
      <c r="D10" s="22">
        <v>1689585</v>
      </c>
    </row>
    <row r="11" spans="1:11" x14ac:dyDescent="0.25">
      <c r="B11" t="s">
        <v>8</v>
      </c>
      <c r="C11" t="s">
        <v>46</v>
      </c>
      <c r="D11" s="22">
        <v>425091</v>
      </c>
    </row>
    <row r="12" spans="1:11" x14ac:dyDescent="0.25">
      <c r="B12" t="s">
        <v>9</v>
      </c>
      <c r="C12" t="s">
        <v>31</v>
      </c>
      <c r="D12" s="22">
        <v>0</v>
      </c>
    </row>
    <row r="13" spans="1:11" x14ac:dyDescent="0.25">
      <c r="B13" t="s">
        <v>9</v>
      </c>
      <c r="C13" t="s">
        <v>32</v>
      </c>
      <c r="D13" s="22">
        <v>2987799</v>
      </c>
    </row>
    <row r="14" spans="1:11" x14ac:dyDescent="0.25">
      <c r="B14" t="s">
        <v>9</v>
      </c>
      <c r="C14" t="s">
        <v>45</v>
      </c>
      <c r="D14" s="22">
        <v>698039</v>
      </c>
    </row>
    <row r="15" spans="1:11" x14ac:dyDescent="0.25">
      <c r="B15" t="s">
        <v>9</v>
      </c>
      <c r="C15" t="s">
        <v>46</v>
      </c>
      <c r="D15" s="22">
        <v>152795</v>
      </c>
    </row>
    <row r="16" spans="1:11" x14ac:dyDescent="0.25">
      <c r="B16" t="s">
        <v>10</v>
      </c>
      <c r="C16" t="s">
        <v>31</v>
      </c>
      <c r="D16" s="22">
        <v>0</v>
      </c>
    </row>
    <row r="17" spans="1:4" x14ac:dyDescent="0.25">
      <c r="B17" t="s">
        <v>10</v>
      </c>
      <c r="C17" t="s">
        <v>32</v>
      </c>
      <c r="D17" s="22">
        <v>2735774</v>
      </c>
    </row>
    <row r="18" spans="1:4" x14ac:dyDescent="0.25">
      <c r="B18" t="s">
        <v>10</v>
      </c>
      <c r="C18" t="s">
        <v>45</v>
      </c>
      <c r="D18" s="22">
        <v>105181</v>
      </c>
    </row>
    <row r="19" spans="1:4" x14ac:dyDescent="0.25">
      <c r="B19" t="s">
        <v>10</v>
      </c>
      <c r="C19" t="s">
        <v>46</v>
      </c>
      <c r="D19" s="22">
        <v>21642</v>
      </c>
    </row>
    <row r="20" spans="1:4" x14ac:dyDescent="0.25">
      <c r="B20" t="s">
        <v>11</v>
      </c>
      <c r="C20" t="s">
        <v>31</v>
      </c>
      <c r="D20" s="22">
        <v>0</v>
      </c>
    </row>
    <row r="21" spans="1:4" x14ac:dyDescent="0.25">
      <c r="B21" t="s">
        <v>11</v>
      </c>
      <c r="C21" t="s">
        <v>32</v>
      </c>
      <c r="D21" s="22">
        <v>616182</v>
      </c>
    </row>
    <row r="22" spans="1:4" x14ac:dyDescent="0.25">
      <c r="B22" t="s">
        <v>11</v>
      </c>
      <c r="C22" t="s">
        <v>45</v>
      </c>
      <c r="D22" s="22">
        <v>18432</v>
      </c>
    </row>
    <row r="23" spans="1:4" x14ac:dyDescent="0.25">
      <c r="B23" t="s">
        <v>11</v>
      </c>
      <c r="C23" t="s">
        <v>46</v>
      </c>
      <c r="D23" s="22">
        <v>4427</v>
      </c>
    </row>
    <row r="24" spans="1:4" x14ac:dyDescent="0.25">
      <c r="C24" s="23" t="s">
        <v>50</v>
      </c>
      <c r="D24" s="22">
        <f>SUM(D8:D23)</f>
        <v>13174873</v>
      </c>
    </row>
    <row r="25" spans="1:4" x14ac:dyDescent="0.25">
      <c r="A25" s="10" t="s">
        <v>24</v>
      </c>
      <c r="B25" s="9"/>
      <c r="C25" s="9"/>
    </row>
    <row r="27" spans="1:4" x14ac:dyDescent="0.25">
      <c r="A27" s="10" t="s">
        <v>25</v>
      </c>
    </row>
    <row r="28" spans="1:4" x14ac:dyDescent="0.25">
      <c r="A28" s="9" t="s">
        <v>26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4A380-DDDE-4A4D-B8C4-0003BCEBF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Tabla5</vt:lpstr>
      <vt:lpstr>Hogares</vt:lpstr>
      <vt:lpstr>HogaresNotabulados</vt:lpstr>
      <vt:lpstr>Parejasnotabulada</vt:lpstr>
      <vt:lpstr>Tabla2</vt:lpstr>
      <vt:lpstr>Hoja1</vt:lpstr>
      <vt:lpstr>Nucleos de población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María José Vidal Paz</cp:lastModifiedBy>
  <dcterms:created xsi:type="dcterms:W3CDTF">2024-02-13T19:08:34Z</dcterms:created>
  <dcterms:modified xsi:type="dcterms:W3CDTF">2025-10-15T09:52:09Z</dcterms:modified>
</cp:coreProperties>
</file>